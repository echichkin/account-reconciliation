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chic\Yandex.Disk\Мои скрипты\PQ - скрипты\Сверка\"/>
    </mc:Choice>
  </mc:AlternateContent>
  <xr:revisionPtr revIDLastSave="0" documentId="13_ncr:1_{5ABB0DA6-622E-419C-BB3E-C468991DEE65}" xr6:coauthVersionLast="47" xr6:coauthVersionMax="47" xr10:uidLastSave="{00000000-0000-0000-0000-000000000000}"/>
  <bookViews>
    <workbookView xWindow="13995" yWindow="3360" windowWidth="38940" windowHeight="19620" xr2:uid="{E081FF4D-A0E3-463C-9E64-DF4AFBB17F71}"/>
  </bookViews>
  <sheets>
    <sheet name="Расхождения" sheetId="5" r:id="rId1"/>
    <sheet name="Инфо" sheetId="1" r:id="rId2"/>
  </sheets>
  <definedNames>
    <definedName name="ExternalData_1" localSheetId="0" hidden="1">Расхождения!$A$1:$H$9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AED82-438C-4952-A375-B3B61C5EBE60}" keepAlive="1" name="Query - 10%, 20% или дата" description="Connection to the '10%, 20% или дата' query in the workbook." type="5" refreshedVersion="7" background="1" saveData="1">
    <dbPr connection="Provider=Microsoft.Mashup.OleDb.1;Data Source=$Workbook$;Location=&quot;10%, 20% или дата&quot;;Extended Properties=&quot;&quot;" command="SELECT * FROM [10%, 20% или дата]"/>
  </connection>
  <connection id="2" xr16:uid="{29ED12EE-014A-4066-A383-E6DBA7276E0B}" keepAlive="1" name="Query - 10%, 20% или дата (2)" description="Connection to the '10%, 20% или дата (2)' query in the workbook." type="5" refreshedVersion="8" background="1" saveData="1">
    <dbPr connection="Provider=Microsoft.Mashup.OleDb.1;Data Source=$Workbook$;Location=&quot;10%, 20% или дата (2)&quot;;Extended Properties=&quot;&quot;" command="SELECT * FROM [10%, 20% или дата (2)]"/>
  </connection>
  <connection id="3" xr16:uid="{A1E2E33E-F46B-4E44-8C45-8B353B234C7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FFC2EBA8-C26C-4508-A551-A58C369BF71A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1AC0D11-E3E1-4258-A9AF-64FE1E5155E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07BF8AE0-45BB-41EC-9333-9167FECA9AF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A859060-B440-4877-927D-513CB64EEF8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02530810-8F87-40B6-9ED0-486D8659D0C4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E2148135-999F-4AE5-B1D6-E5FA29A6AED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E22077DD-C912-4FA7-9404-855CCCA34090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1" xr16:uid="{4F81A709-192A-45A7-95B1-60E966D8B01F}" keepAlive="1" name="Query - авансы 76" description="Connection to the 'авансы 76' query in the workbook." type="5" refreshedVersion="0" background="1">
    <dbPr connection="Provider=Microsoft.Mashup.OleDb.1;Data Source=$Workbook$;Location=&quot;авансы 76&quot;;Extended Properties=&quot;&quot;" command="SELECT * FROM [авансы 76]"/>
  </connection>
  <connection id="12" xr16:uid="{1F86E4D4-5824-410F-B5B9-40C77267CCEA}" keepAlive="1" name="Query - покупатели 62" description="Connection to the 'покупатели 62' query in the workbook." type="5" refreshedVersion="0" background="1">
    <dbPr connection="Provider=Microsoft.Mashup.OleDb.1;Data Source=$Workbook$;Location=&quot;покупатели 62&quot;;Extended Properties=&quot;&quot;" command="SELECT * FROM [покупатели 62]"/>
  </connection>
  <connection id="13" xr16:uid="{B5ECBD78-D0A6-4DF2-B9BF-94D7F759F6B6}" keepAlive="1" name="Query - Порог сходимости" description="Connection to the 'Порог сходимости' query in the workbook." type="5" refreshedVersion="0" background="1">
    <dbPr connection="Provider=Microsoft.Mashup.OleDb.1;Data Source=$Workbook$;Location=&quot;Порог сходимости&quot;;Extended Properties=&quot;&quot;" command="SELECT * FROM [Порог сходимости]"/>
  </connection>
  <connection id="14" xr16:uid="{D124475B-6AFE-45BD-9905-0FEF221DEF36}" keepAlive="1" name="Query - Путь" description="Connection to the 'Путь' query in the workbook." type="5" refreshedVersion="0" background="1">
    <dbPr connection="Provider=Microsoft.Mashup.OleDb.1;Data Source=$Workbook$;Location=Путь;Extended Properties=&quot;&quot;" command="SELECT * FROM [Путь]"/>
  </connection>
  <connection id="15" xr16:uid="{2A994433-C76C-49FC-A0FD-275702E1739E}" keepAlive="1" name="Query - Разница" description="Connection to the 'Разница' query in the workbook." type="5" refreshedVersion="7" background="1" saveData="1">
    <dbPr connection="Provider=Microsoft.Mashup.OleDb.1;Data Source=$Workbook$;Location=Разница;Extended Properties=&quot;&quot;" command="SELECT * FROM [Разница]"/>
  </connection>
  <connection id="16" xr16:uid="{EA20876D-F4C6-4456-A15E-7CDA871B9636}" keepAlive="1" name="Query - Разница (2)" description="Connection to the 'Разница (2)' query in the workbook." type="5" refreshedVersion="8" background="1" saveData="1">
    <dbPr connection="Provider=Microsoft.Mashup.OleDb.1;Data Source=$Workbook$;Location=&quot;Разница (2)&quot;;Extended Properties=&quot;&quot;" command="SELECT * FROM [Разница (2)]"/>
  </connection>
  <connection id="17" xr16:uid="{5AFFAB25-A096-4E9E-A9CB-AE7DFC556604}" keepAlive="1" name="Query - Сверка" description="Connection to the 'Сверка' query in the workbook." type="5" refreshedVersion="0" background="1">
    <dbPr connection="Provider=Microsoft.Mashup.OleDb.1;Data Source=$Workbook$;Location=Сверка;Extended Properties=&quot;&quot;" command="SELECT * FROM [Сверка]"/>
  </connection>
  <connection id="18" xr16:uid="{2F9B11D2-D818-4F8F-8A9F-EF59DFDBFB97}" keepAlive="1" name="Query - Сверка 62" description="Connection to the 'Сверка 62' query in the workbook." type="5" refreshedVersion="0" background="1">
    <dbPr connection="Provider=Microsoft.Mashup.OleDb.1;Data Source=$Workbook$;Location=&quot;Сверка 62&quot;;Extended Properties=&quot;&quot;" command="SELECT * FROM [Сверка 62]"/>
  </connection>
  <connection id="19" xr16:uid="{DEE72E59-518D-409B-9AE5-08F8224739D7}" keepAlive="1" name="Query - Сверка 76" description="Connection to the 'Сверка 76' query in the workbook." type="5" refreshedVersion="0" background="1">
    <dbPr connection="Provider=Microsoft.Mashup.OleDb.1;Data Source=$Workbook$;Location=&quot;Сверка 76&quot;;Extended Properties=&quot;&quot;" command="SELECT * FROM [Сверка 76]"/>
  </connection>
  <connection id="20" xr16:uid="{C1D54A1D-0D87-437F-93C1-12C5D8ECC064}" keepAlive="1" name="Запрос — 5 days" description="Соединение с запросом &quot;5 days&quot; в книге." type="5" refreshedVersion="7" background="1" saveData="1">
    <dbPr connection="Provider=Microsoft.Mashup.OleDb.1;Data Source=$Workbook$;Location=&quot;5 days&quot;;Extended Properties=&quot;&quot;" command="SELECT * FROM [5 day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<sst xmlns="http://schemas.openxmlformats.org/spreadsheetml/2006/main" count="27" uniqueCount="22">
  <si>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>Путь</t>
  </si>
  <si>
    <t>Контрагенты</t>
  </si>
  <si>
    <t>Дата</t>
  </si>
  <si>
    <t>Кредит</t>
  </si>
  <si>
    <t>Порог сходимости</t>
  </si>
  <si>
    <t>Для работы нужны 2 выгрузки из 1С. Именно выгрузки, а не скопированные значения.</t>
  </si>
  <si>
    <t>Для пересчёта книги нажмите Ctrl + Alt + F5.</t>
  </si>
  <si>
    <t>Файлы надо переименовать как "покупатели" и "авансы". С маленькой буквы, регистр имеет значение.</t>
  </si>
  <si>
    <t>Если меняете порог сходимости, сохраните файл - Ctrl + S. Это важно!</t>
  </si>
  <si>
    <t>Путь к папке определяется автоматически. Там ничего менять не надо.</t>
  </si>
  <si>
    <t>Контрагент</t>
  </si>
  <si>
    <t>-1 даст путь к файлу</t>
  </si>
  <si>
    <t>-2 даст путь к папке</t>
  </si>
  <si>
    <t>76.Контрагенты</t>
  </si>
  <si>
    <t>76.Дата</t>
  </si>
  <si>
    <t>76.Дебет</t>
  </si>
  <si>
    <t>Требуется проверка</t>
  </si>
  <si>
    <t>Выгрузки должны лежать в одной папке с этим файлом.</t>
  </si>
  <si>
    <t xml:space="preserve"> =LEFT(CELL("filename");FIND("[";CELL("filename"))-2)</t>
  </si>
  <si>
    <t>В таблице выше надо указать порог сходимости для расчётов. По умолчанию стоит 1 рубль, можно поставить любое значение. Это поле не должно быть пустым!</t>
  </si>
  <si>
    <t>Расхождения</t>
  </si>
  <si>
    <t>=LEFT(CELL("имяфайла");FIND("[";CELL("имяфайла"))-2)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</si>
</sst>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₽&quot;"/>
  </numFmts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6">
    <dxf>
      <numFmt numFmtId="164" formatCode="#,##0.00\ &quot;₽&quot;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5AF2705-2141-43DA-80AE-E678E2F1A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7FF4CC-9463-46F0-911B-0967BF0FF6D3}" autoFormatId="16" applyNumberFormats="0" applyBorderFormats="0" applyFontFormats="0" applyPatternFormats="0" applyAlignmentFormats="0" applyWidthHeightFormats="0">
  <queryTableRefresh nextId="10">
    <queryTableFields count="8">
      <queryTableField id="1" name="Контрагент" tableColumnId="1"/>
      <queryTableField id="2" name="Контрагенты" tableColumnId="2"/>
      <queryTableField id="3" name="76.Контрагенты" tableColumnId="3"/>
      <queryTableField id="4" name="Дата" tableColumnId="4"/>
      <queryTableField id="5" name="76.Дата" tableColumnId="5"/>
      <queryTableField id="6" name="Кредит" tableColumnId="6"/>
      <queryTableField id="7" name="76.Дебет" tableColumnId="7"/>
      <queryTableField id="9" name="Расхождения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792D01-8007-4CC8-A66A-1F3C6BEED8C6}" name="_10___20__или_дата__2" displayName="_10___20__или_дата__2" ref="A1:H9" tableType="queryTable" totalsRowShown="0">
  <autoFilter ref="A1:H9" xr:uid="{86792D01-8007-4CC8-A66A-1F3C6BEED8C6}"/>
  <tableColumns count="8">
    <tableColumn id="1" xr3:uid="{F72FDC3D-E3F0-437F-84C7-0C2521A8BBEB}" uniqueName="1" name="Контрагент" queryTableFieldId="1" dataDxfId="5"/>
    <tableColumn id="2" xr3:uid="{52D7744B-1B09-473C-AA51-7B4C8D1F246D}" uniqueName="2" name="Контрагенты" queryTableFieldId="2" dataDxfId="4"/>
    <tableColumn id="3" xr3:uid="{157A5552-0677-4C37-BB44-7BFF67F5C24E}" uniqueName="3" name="76.Контрагенты" queryTableFieldId="3" dataDxfId="3"/>
    <tableColumn id="4" xr3:uid="{7C54F46D-5BA4-4A37-9693-AB75C137820B}" uniqueName="4" name="Дата" queryTableFieldId="4" dataDxfId="2"/>
    <tableColumn id="5" xr3:uid="{EAE96D99-E1D0-4EEF-9C7E-2EACF8223815}" uniqueName="5" name="76.Дата" queryTableFieldId="5" dataDxfId="1"/>
    <tableColumn id="6" xr3:uid="{6FF2FC3F-3FE7-4CA4-94A7-6CADAF60CF06}" uniqueName="6" name="Кредит" queryTableFieldId="6"/>
    <tableColumn id="7" xr3:uid="{ED7DD8B9-1C0B-47E3-BDD2-FC9AEA9CB1DB}" uniqueName="7" name="76.Дебет" queryTableFieldId="7"/>
    <tableColumn id="8" xr3:uid="{6B73A225-2487-42B2-A4B0-E3BC59493087}" uniqueName="8" name="Расхождения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2F0F6-9644-4D3B-AC7B-6FF3EA7102AC}" name="Table1" displayName="Table1" ref="A3:B4" totalsRowShown="0">
  <autoFilter ref="A3:B4" xr:uid="{FB92F0F6-9644-4D3B-AC7B-6FF3EA7102AC}"/>
  <tableColumns count="2">
    <tableColumn id="1" xr3:uid="{8C9D7347-7603-4563-ABA8-E6B7B338412F}" name="Путь">
      <calculatedColumnFormula array="1">ЛЕВСИМВ(ЯЧЕЙКА("имяфайла"),НАЙТИ("[",ЯЧЕЙКА("имяфайла"))-2)</calculatedColumnFormula>
    </tableColumn>
    <tableColumn id="2" xr3:uid="{EAF6D451-3BBF-4334-AE86-361F24A5253D}" name="Порог сходимост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061B-3F35-42C9-8BE4-C5EF8858C923}">
  <dimension ref="A1:H9"/>
  <sheetViews>
    <sheetView tabSelected="1" workbookViewId="0">
      <selection activeCell="C16" sqref="C16"/>
    </sheetView>
  </sheetViews>
  <sheetFormatPr defaultRowHeight="15.75" x14ac:dyDescent="0.25"/>
  <cols>
    <col min="1" max="1" width="37.5" bestFit="1" customWidth="1"/>
    <col min="2" max="3" width="39.875" bestFit="1" customWidth="1"/>
    <col min="4" max="5" width="9.875" bestFit="1" customWidth="1"/>
    <col min="6" max="6" width="10.875" bestFit="1" customWidth="1"/>
    <col min="7" max="7" width="10.5" bestFit="1" customWidth="1"/>
    <col min="8" max="9" width="17.625" bestFit="1" customWidth="1"/>
  </cols>
  <sheetData>
    <row r="1" spans="1:8" x14ac:dyDescent="0.25">
      <c r="A1" t="s">
        <v>10</v>
      </c>
      <c r="B1" t="s">
        <v>1</v>
      </c>
      <c r="C1" t="s">
        <v>13</v>
      </c>
      <c r="D1" t="s">
        <v>2</v>
      </c>
      <c r="E1" t="s">
        <v>14</v>
      </c>
      <c r="F1" t="s">
        <v>3</v>
      </c>
      <c r="G1" t="s">
        <v>15</v>
      </c>
      <c r="H1" t="s">
        <v>20</v>
      </c>
    </row>
    <row r="2" spans="1:8" x14ac:dyDescent="0.25">
      <c r="D2" s="1">
        <v>45869</v>
      </c>
      <c r="E2" s="1">
        <v>45869</v>
      </c>
      <c r="F2">
        <v>46200</v>
      </c>
      <c r="G2">
        <v>100000</v>
      </c>
      <c r="H2" t="s">
        <v>16</v>
      </c>
    </row>
    <row r="3" spans="1:8" x14ac:dyDescent="0.25">
      <c r="D3" s="1">
        <v>45807</v>
      </c>
      <c r="E3" s="1">
        <v>45807</v>
      </c>
      <c r="F3">
        <v>5110000</v>
      </c>
      <c r="G3">
        <v>64</v>
      </c>
      <c r="H3" t="s">
        <v>16</v>
      </c>
    </row>
    <row r="4" spans="1:8" x14ac:dyDescent="0.25">
      <c r="D4" s="1">
        <v>45751</v>
      </c>
      <c r="E4" s="1">
        <v>45751</v>
      </c>
      <c r="F4">
        <v>1225395.1399999999</v>
      </c>
      <c r="G4">
        <v>204232.53</v>
      </c>
      <c r="H4">
        <v>-0.01</v>
      </c>
    </row>
    <row r="5" spans="1:8" x14ac:dyDescent="0.25">
      <c r="D5" s="1">
        <v>45818</v>
      </c>
      <c r="E5" s="1">
        <v>45818</v>
      </c>
      <c r="F5">
        <v>716050.53</v>
      </c>
      <c r="G5">
        <v>119341.75</v>
      </c>
      <c r="H5">
        <v>0.01</v>
      </c>
    </row>
    <row r="6" spans="1:8" x14ac:dyDescent="0.25">
      <c r="D6" s="1">
        <v>45860</v>
      </c>
      <c r="E6" s="1">
        <v>45505</v>
      </c>
      <c r="F6">
        <v>1500</v>
      </c>
      <c r="G6">
        <v>319.88</v>
      </c>
      <c r="H6" t="s">
        <v>16</v>
      </c>
    </row>
    <row r="7" spans="1:8" x14ac:dyDescent="0.25">
      <c r="D7" s="1">
        <v>45860</v>
      </c>
      <c r="E7" s="1">
        <v>45505</v>
      </c>
      <c r="F7">
        <v>666.63</v>
      </c>
      <c r="G7">
        <v>4012.14</v>
      </c>
      <c r="H7" t="s">
        <v>16</v>
      </c>
    </row>
    <row r="8" spans="1:8" x14ac:dyDescent="0.25">
      <c r="D8" s="1">
        <v>45505</v>
      </c>
      <c r="E8" s="1">
        <v>45860</v>
      </c>
      <c r="F8">
        <v>1919.28</v>
      </c>
      <c r="G8">
        <v>250</v>
      </c>
      <c r="H8" t="s">
        <v>16</v>
      </c>
    </row>
    <row r="9" spans="1:8" x14ac:dyDescent="0.25">
      <c r="D9" s="1">
        <v>45505</v>
      </c>
      <c r="E9" s="1">
        <v>45860</v>
      </c>
      <c r="F9">
        <v>24072.84</v>
      </c>
      <c r="G9">
        <v>111.11</v>
      </c>
      <c r="H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C0E4-028E-4EC0-BD74-926A59EBE1A6}">
  <dimension ref="A3:C19"/>
  <sheetViews>
    <sheetView showGridLines="0" zoomScale="130" zoomScaleNormal="130" workbookViewId="0">
      <selection activeCell="A5" sqref="A5"/>
    </sheetView>
  </sheetViews>
  <sheetFormatPr defaultRowHeight="15.75" x14ac:dyDescent="0.25"/>
  <cols>
    <col min="1" max="1" width="62.625" customWidth="1"/>
    <col min="2" max="2" width="18.625" bestFit="1" customWidth="1"/>
  </cols>
  <sheetData>
    <row r="3" spans="1:2" x14ac:dyDescent="0.25">
      <c r="A3" t="s">
        <v>0</v>
      </c>
      <c r="B3" t="s">
        <v>4</v>
      </c>
    </row>
    <row r="4" spans="1:2" x14ac:dyDescent="0.25">
      <c r="A4" t="e" cm="1">
        <f t="array" aca="1" ref="A4" ca="1">ЛЕВСИМВ(ЯЧЕЙКА("имяфайла"),НАЙТИ("[",ЯЧЕЙКА("имяфайла"))-2)</f>
        <v>#NAME?</v>
      </c>
      <c r="B4" s="2">
        <v>1</v>
      </c>
    </row>
    <row r="7" spans="1:2" x14ac:dyDescent="0.25">
      <c r="A7" t="s">
        <v>5</v>
      </c>
    </row>
    <row r="8" spans="1:2" x14ac:dyDescent="0.25">
      <c r="A8" t="s">
        <v>7</v>
      </c>
    </row>
    <row r="9" spans="1:2" x14ac:dyDescent="0.25">
      <c r="A9" t="s">
        <v>19</v>
      </c>
    </row>
    <row r="11" spans="1:2" x14ac:dyDescent="0.25">
      <c r="A11" s="3" t="s">
        <v>8</v>
      </c>
    </row>
    <row r="12" spans="1:2" x14ac:dyDescent="0.25">
      <c r="A12" s="3" t="s">
        <v>6</v>
      </c>
    </row>
    <row r="14" spans="1:2" x14ac:dyDescent="0.25">
      <c r="A14" t="s">
        <v>9</v>
      </c>
    </row>
    <row r="15" spans="1:2" x14ac:dyDescent="0.25">
      <c r="A15" t="s">
        <v>17</v>
      </c>
    </row>
    <row r="18" spans="1:3" x14ac:dyDescent="0.25">
      <c r="A18" s="4" t="s">
        <v>18</v>
      </c>
    </row>
    <row r="19" spans="1:3" x14ac:dyDescent="0.25">
      <c r="A19" s="4" t="s">
        <v>21</v>
      </c>
      <c r="B19" s="4" t="s">
        <v>11</v>
      </c>
      <c r="C19" s="4" t="s">
        <v>12</v>
      </c>
    </row>
  </sheetData>
  <dataValidations disablePrompts="1" count="1">
    <dataValidation type="decimal" operator="greaterThanOrEqual" allowBlank="1" showInputMessage="1" showErrorMessage="1" sqref="B4" xr:uid="{082D871A-0503-4D29-9FE9-D713A09501B2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0E3678-1DE8-4EE8-9752-A183061AA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Расхождения</vt:lpstr>
      <vt:lpstr>Инфо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Чичкин</dc:creator>
  <cp:lastModifiedBy>Егор Чичкин</cp:lastModifiedBy>
  <dcterms:created xsi:type="dcterms:W3CDTF">2025-09-19T10:38:37Z</dcterms:created>
  <dcterms:modified xsi:type="dcterms:W3CDTF">2025-12-04T07:05:04Z</dcterms:modified>
</cp:coreProperties>
</file>